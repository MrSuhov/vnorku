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2="http://schemas.microsoft.com/office/spreadsheetml/2015/revision2" xmlns:xr6="http://schemas.microsoft.com/office/spreadsheetml/2016/revision6" mc:Ignorable="x15 xr xr2 xr6">
  <fileVersion appName="xl" lastEdited="7" lowestEdited="7" rupBuild="17127"/>
  <workbookPr defaultThemeVersion="124226"/>
  <xr:revisionPtr revIDLastSave="0" documentId="A720DCBC15F8998BF2FAD43D9E1C6ACE0D7CC374" xr6:coauthVersionLast="8" xr6:coauthVersionMax="8"/>
  <bookViews>
    <workbookView xWindow="96" yWindow="36" windowWidth="17076" windowHeight="9336" xr2:uid="{00000000-000D-0000-FFFF-FFFF00000000}"/>
  </bookViews>
  <sheets>
    <sheet name="Лист1" sheetId="1" r:id="rId1"/>
  </sheets>
  <calcPr calcId="171026"/>
</workbook>
</file>

<file path=xl/calcChain.xml><?xml version="1.0" encoding="utf-8"?>
<calcChain xmlns="http://schemas.openxmlformats.org/spreadsheetml/2006/main">
  <c r="G28" i="1" l="1"/>
  <c r="H4" i="1"/>
  <c r="I4" i="1"/>
  <c r="J4" i="1"/>
  <c r="K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I11" i="1"/>
  <c r="J11" i="1"/>
  <c r="K11" i="1"/>
  <c r="H12" i="1"/>
  <c r="I12" i="1"/>
  <c r="J12" i="1"/>
  <c r="K12" i="1"/>
  <c r="H13" i="1"/>
  <c r="I13" i="1"/>
  <c r="J13" i="1"/>
  <c r="K13" i="1"/>
  <c r="H14" i="1"/>
  <c r="I14" i="1"/>
  <c r="J14" i="1"/>
  <c r="K14" i="1"/>
  <c r="H15" i="1"/>
  <c r="I15" i="1"/>
  <c r="J15" i="1"/>
  <c r="K15" i="1"/>
  <c r="H16" i="1"/>
  <c r="I16" i="1"/>
  <c r="J16" i="1"/>
  <c r="K16" i="1"/>
  <c r="H17" i="1"/>
  <c r="I17" i="1"/>
  <c r="J17" i="1"/>
  <c r="K17" i="1"/>
  <c r="H18" i="1"/>
  <c r="I18" i="1"/>
  <c r="J18" i="1"/>
  <c r="K18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K3" i="1"/>
  <c r="J3" i="1"/>
  <c r="I3" i="1"/>
  <c r="H3" i="1"/>
  <c r="J28" i="1"/>
  <c r="K28" i="1"/>
  <c r="H28" i="1"/>
  <c r="I28" i="1"/>
</calcChain>
</file>

<file path=xl/sharedStrings.xml><?xml version="1.0" encoding="utf-8"?>
<sst xmlns="http://schemas.openxmlformats.org/spreadsheetml/2006/main" count="38" uniqueCount="34">
  <si>
    <t>Фасоль</t>
  </si>
  <si>
    <t>Гречка ядрица</t>
  </si>
  <si>
    <t>рис</t>
  </si>
  <si>
    <t>геркулес</t>
  </si>
  <si>
    <t>баранина</t>
  </si>
  <si>
    <t>говядина</t>
  </si>
  <si>
    <t>конина</t>
  </si>
  <si>
    <t>кролик</t>
  </si>
  <si>
    <t xml:space="preserve">телятина </t>
  </si>
  <si>
    <t>куры</t>
  </si>
  <si>
    <t>цыплята</t>
  </si>
  <si>
    <t>индейка</t>
  </si>
  <si>
    <t>баклажаны</t>
  </si>
  <si>
    <t>капуста цветная</t>
  </si>
  <si>
    <t>картофель</t>
  </si>
  <si>
    <t>морковь красная</t>
  </si>
  <si>
    <t>редька</t>
  </si>
  <si>
    <t>горбуша</t>
  </si>
  <si>
    <t>щука</t>
  </si>
  <si>
    <t>судак</t>
  </si>
  <si>
    <t>бананы</t>
  </si>
  <si>
    <t>молоко</t>
  </si>
  <si>
    <t>творог нежирный</t>
  </si>
  <si>
    <t>яйцо куриное</t>
  </si>
  <si>
    <t>зел. фасоль стручок</t>
  </si>
  <si>
    <t>Продукты</t>
  </si>
  <si>
    <t>Масса</t>
  </si>
  <si>
    <t>Белки</t>
  </si>
  <si>
    <t>Жиры</t>
  </si>
  <si>
    <t>Углев.</t>
  </si>
  <si>
    <t>Ккал</t>
  </si>
  <si>
    <t>Вода</t>
  </si>
  <si>
    <t>Содержание на 100г</t>
  </si>
  <si>
    <t>Расчет диеты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</si>
</sst>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/>
      </right>
      <top/>
      <bottom style="thin">
        <color theme="0" tint="-0.24994659260841701"/>
      </bottom>
      <diagonal/>
    </border>
    <border>
      <left style="thin">
        <color theme="0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1" fillId="0" borderId="0" xfId="0" applyFont="1"/>
    <xf numFmtId="164" fontId="1" fillId="0" borderId="1" xfId="0" applyNumberFormat="1" applyFont="1" applyBorder="1"/>
    <xf numFmtId="0" fontId="1" fillId="0" borderId="2" xfId="0" applyFont="1" applyBorder="1"/>
    <xf numFmtId="1" fontId="1" fillId="0" borderId="2" xfId="0" applyNumberFormat="1" applyFont="1" applyBorder="1"/>
    <xf numFmtId="0" fontId="2" fillId="2" borderId="0" xfId="0" applyFont="1" applyFill="1"/>
    <xf numFmtId="1" fontId="1" fillId="0" borderId="1" xfId="0" applyNumberFormat="1" applyFont="1" applyBorder="1"/>
    <xf numFmtId="3" fontId="3" fillId="0" borderId="0" xfId="0" applyNumberFormat="1" applyFont="1"/>
    <xf numFmtId="3" fontId="1" fillId="0" borderId="7" xfId="0" applyNumberFormat="1" applyFont="1" applyFill="1" applyBorder="1"/>
    <xf numFmtId="3" fontId="1" fillId="0" borderId="6" xfId="0" applyNumberFormat="1" applyFont="1" applyFill="1" applyBorder="1"/>
    <xf numFmtId="3" fontId="1" fillId="0" borderId="1" xfId="0" applyNumberFormat="1" applyFont="1" applyFill="1" applyBorder="1"/>
    <xf numFmtId="3" fontId="1" fillId="0" borderId="1" xfId="0" applyNumberFormat="1" applyFont="1" applyBorder="1"/>
    <xf numFmtId="3" fontId="1" fillId="0" borderId="6" xfId="0" applyNumberFormat="1" applyFont="1" applyBorder="1"/>
    <xf numFmtId="0" fontId="2" fillId="2" borderId="11" xfId="0" applyFont="1" applyFill="1" applyBorder="1"/>
    <xf numFmtId="0" fontId="2" fillId="2" borderId="10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 xr3:uid="{AEA406A1-0E4B-5B11-9CD5-51D6E497D94C}">
      <pane xSplit="1" ySplit="2" topLeftCell="E3" activePane="bottomRight" state="frozen"/>
      <selection pane="bottomLeft" activeCell="A3" sqref="A3"/>
      <selection pane="topRight" activeCell="B1" sqref="B1"/>
      <selection pane="bottomRight" activeCell="F21" sqref="F21"/>
    </sheetView>
  </sheetViews>
  <sheetFormatPr defaultColWidth="8.85546875" defaultRowHeight="12.75" x14ac:dyDescent="0.15"/>
  <cols>
    <col min="1" max="1" width="17.28515625" style="2" bestFit="1" customWidth="1"/>
    <col min="2" max="2" width="5.42578125" style="2" bestFit="1" customWidth="1"/>
    <col min="3" max="3" width="5.7109375" style="2" bestFit="1" customWidth="1"/>
    <col min="4" max="4" width="5.5703125" style="2" bestFit="1" customWidth="1"/>
    <col min="5" max="5" width="5.7109375" style="2" bestFit="1" customWidth="1"/>
    <col min="6" max="6" width="5.42578125" style="2" bestFit="1" customWidth="1"/>
    <col min="7" max="8" width="5.7109375" style="2" bestFit="1" customWidth="1"/>
    <col min="9" max="9" width="5.5703125" style="2" bestFit="1" customWidth="1"/>
    <col min="10" max="10" width="5.7109375" style="2" bestFit="1" customWidth="1"/>
    <col min="11" max="11" width="5" style="2" bestFit="1" customWidth="1"/>
    <col min="12" max="16384" width="8.85546875" style="2"/>
  </cols>
  <sheetData>
    <row r="1" spans="1:11" x14ac:dyDescent="0.15">
      <c r="A1" s="22" t="s">
        <v>25</v>
      </c>
      <c r="B1" s="19" t="s">
        <v>32</v>
      </c>
      <c r="C1" s="20"/>
      <c r="D1" s="20"/>
      <c r="E1" s="20"/>
      <c r="F1" s="21"/>
      <c r="G1" s="24" t="s">
        <v>33</v>
      </c>
      <c r="H1" s="25"/>
      <c r="I1" s="25"/>
      <c r="J1" s="25"/>
      <c r="K1" s="25"/>
    </row>
    <row r="2" spans="1:11" x14ac:dyDescent="0.15">
      <c r="A2" s="23"/>
      <c r="B2" s="14" t="s">
        <v>31</v>
      </c>
      <c r="C2" s="15" t="s">
        <v>27</v>
      </c>
      <c r="D2" s="16" t="s">
        <v>28</v>
      </c>
      <c r="E2" s="15" t="s">
        <v>29</v>
      </c>
      <c r="F2" s="17" t="s">
        <v>30</v>
      </c>
      <c r="G2" s="6" t="s">
        <v>26</v>
      </c>
      <c r="H2" s="18" t="s">
        <v>27</v>
      </c>
      <c r="I2" s="6" t="s">
        <v>28</v>
      </c>
      <c r="J2" s="18" t="s">
        <v>29</v>
      </c>
      <c r="K2" s="6" t="s">
        <v>30</v>
      </c>
    </row>
    <row r="3" spans="1:11" x14ac:dyDescent="0.15">
      <c r="A3" s="1" t="s">
        <v>0</v>
      </c>
      <c r="B3" s="3">
        <v>14</v>
      </c>
      <c r="C3" s="3">
        <v>22.3</v>
      </c>
      <c r="D3" s="3">
        <v>1.7</v>
      </c>
      <c r="E3" s="3">
        <v>54.5</v>
      </c>
      <c r="F3" s="4">
        <v>309</v>
      </c>
      <c r="G3" s="9"/>
      <c r="H3" s="7" t="str">
        <f>IF(G3&lt;&gt;0,C3*G3/100,"")</f>
        <v/>
      </c>
      <c r="I3" s="7" t="str">
        <f>IF(G3&lt;&gt;0,D3*G3/100,"")</f>
        <v/>
      </c>
      <c r="J3" s="7" t="str">
        <f>IF(G3&lt;&gt;0,E3*G3/100,"")</f>
        <v/>
      </c>
      <c r="K3" s="7" t="str">
        <f>IF(G3&lt;&gt;0,F3*G3/100,"")</f>
        <v/>
      </c>
    </row>
    <row r="4" spans="1:11" x14ac:dyDescent="0.15">
      <c r="A4" s="1" t="s">
        <v>1</v>
      </c>
      <c r="B4" s="3">
        <v>14</v>
      </c>
      <c r="C4" s="3">
        <v>12.6</v>
      </c>
      <c r="D4" s="3">
        <v>2.6</v>
      </c>
      <c r="E4" s="3">
        <v>68</v>
      </c>
      <c r="F4" s="4">
        <v>329</v>
      </c>
      <c r="G4" s="10">
        <v>100</v>
      </c>
      <c r="H4" s="7">
        <f t="shared" ref="H4:H27" si="0">IF(G4&lt;&gt;0,C4*G4/100,"")</f>
        <v>12.6</v>
      </c>
      <c r="I4" s="7">
        <f t="shared" ref="I4:I27" si="1">IF(G4&lt;&gt;0,D4*G4/100,"")</f>
        <v>2.6</v>
      </c>
      <c r="J4" s="7">
        <f t="shared" ref="J4:J27" si="2">IF(G4&lt;&gt;0,E4*G4/100,"")</f>
        <v>68</v>
      </c>
      <c r="K4" s="7">
        <f t="shared" ref="K4:K27" si="3">IF(G4&lt;&gt;0,F4*G4/100,"")</f>
        <v>329</v>
      </c>
    </row>
    <row r="5" spans="1:11" x14ac:dyDescent="0.15">
      <c r="A5" s="1" t="s">
        <v>2</v>
      </c>
      <c r="B5" s="3">
        <v>14</v>
      </c>
      <c r="C5" s="3">
        <v>7</v>
      </c>
      <c r="D5" s="3">
        <v>0.6</v>
      </c>
      <c r="E5" s="3">
        <v>73.7</v>
      </c>
      <c r="F5" s="4">
        <v>323</v>
      </c>
      <c r="G5" s="11">
        <v>100</v>
      </c>
      <c r="H5" s="7">
        <f t="shared" si="0"/>
        <v>7</v>
      </c>
      <c r="I5" s="7">
        <f t="shared" si="1"/>
        <v>0.6</v>
      </c>
      <c r="J5" s="7">
        <f t="shared" si="2"/>
        <v>73.7</v>
      </c>
      <c r="K5" s="7">
        <f t="shared" si="3"/>
        <v>323</v>
      </c>
    </row>
    <row r="6" spans="1:11" x14ac:dyDescent="0.15">
      <c r="A6" s="1" t="s">
        <v>3</v>
      </c>
      <c r="B6" s="3">
        <v>12</v>
      </c>
      <c r="C6" s="3">
        <v>13.1</v>
      </c>
      <c r="D6" s="3">
        <v>6.2</v>
      </c>
      <c r="E6" s="3">
        <v>65.7</v>
      </c>
      <c r="F6" s="4">
        <v>355</v>
      </c>
      <c r="G6" s="11">
        <v>150</v>
      </c>
      <c r="H6" s="7">
        <f t="shared" si="0"/>
        <v>19.649999999999999</v>
      </c>
      <c r="I6" s="7">
        <f t="shared" si="1"/>
        <v>9.3000000000000007</v>
      </c>
      <c r="J6" s="7">
        <f t="shared" si="2"/>
        <v>98.55</v>
      </c>
      <c r="K6" s="7">
        <f t="shared" si="3"/>
        <v>532.5</v>
      </c>
    </row>
    <row r="7" spans="1:11" x14ac:dyDescent="0.15">
      <c r="A7" s="1" t="s">
        <v>21</v>
      </c>
      <c r="B7" s="3">
        <v>88.5</v>
      </c>
      <c r="C7" s="3">
        <v>2.8</v>
      </c>
      <c r="D7" s="3">
        <v>3.2</v>
      </c>
      <c r="E7" s="3">
        <v>4.7</v>
      </c>
      <c r="F7" s="4">
        <v>58</v>
      </c>
      <c r="G7" s="11">
        <v>200</v>
      </c>
      <c r="H7" s="7">
        <f t="shared" si="0"/>
        <v>5.6</v>
      </c>
      <c r="I7" s="7">
        <f t="shared" si="1"/>
        <v>6.4</v>
      </c>
      <c r="J7" s="7">
        <f t="shared" si="2"/>
        <v>9.4</v>
      </c>
      <c r="K7" s="7">
        <f t="shared" si="3"/>
        <v>116</v>
      </c>
    </row>
    <row r="8" spans="1:11" x14ac:dyDescent="0.15">
      <c r="A8" s="1" t="s">
        <v>22</v>
      </c>
      <c r="B8" s="3">
        <v>77.7</v>
      </c>
      <c r="C8" s="3">
        <v>18</v>
      </c>
      <c r="D8" s="3">
        <v>0.6</v>
      </c>
      <c r="E8" s="3">
        <v>1.5</v>
      </c>
      <c r="F8" s="4">
        <v>86</v>
      </c>
      <c r="G8" s="11">
        <v>250</v>
      </c>
      <c r="H8" s="7">
        <f t="shared" si="0"/>
        <v>45</v>
      </c>
      <c r="I8" s="7">
        <f t="shared" si="1"/>
        <v>1.5</v>
      </c>
      <c r="J8" s="7">
        <f t="shared" si="2"/>
        <v>3.75</v>
      </c>
      <c r="K8" s="7">
        <f t="shared" si="3"/>
        <v>215</v>
      </c>
    </row>
    <row r="9" spans="1:11" x14ac:dyDescent="0.15">
      <c r="A9" s="1" t="s">
        <v>23</v>
      </c>
      <c r="B9" s="3">
        <v>74</v>
      </c>
      <c r="C9" s="3">
        <v>12.7</v>
      </c>
      <c r="D9" s="3">
        <v>11.5</v>
      </c>
      <c r="E9" s="3">
        <v>0.7</v>
      </c>
      <c r="F9" s="4">
        <v>157</v>
      </c>
      <c r="G9" s="11">
        <v>100</v>
      </c>
      <c r="H9" s="7">
        <f t="shared" si="0"/>
        <v>12.7</v>
      </c>
      <c r="I9" s="7">
        <f t="shared" si="1"/>
        <v>11.5</v>
      </c>
      <c r="J9" s="7">
        <f t="shared" si="2"/>
        <v>0.7</v>
      </c>
      <c r="K9" s="7">
        <f t="shared" si="3"/>
        <v>157</v>
      </c>
    </row>
    <row r="10" spans="1:11" x14ac:dyDescent="0.15">
      <c r="A10" s="1" t="s">
        <v>4</v>
      </c>
      <c r="B10" s="3">
        <v>67.599999999999994</v>
      </c>
      <c r="C10" s="3">
        <v>16.3</v>
      </c>
      <c r="D10" s="3">
        <v>15.3</v>
      </c>
      <c r="E10" s="3">
        <v>0</v>
      </c>
      <c r="F10" s="4">
        <v>203</v>
      </c>
      <c r="G10" s="12"/>
      <c r="H10" s="7" t="str">
        <f t="shared" si="0"/>
        <v/>
      </c>
      <c r="I10" s="7" t="str">
        <f t="shared" si="1"/>
        <v/>
      </c>
      <c r="J10" s="7" t="str">
        <f t="shared" si="2"/>
        <v/>
      </c>
      <c r="K10" s="7" t="str">
        <f t="shared" si="3"/>
        <v/>
      </c>
    </row>
    <row r="11" spans="1:11" x14ac:dyDescent="0.15">
      <c r="A11" s="1" t="s">
        <v>5</v>
      </c>
      <c r="B11" s="3">
        <v>67.7</v>
      </c>
      <c r="C11" s="3">
        <v>18.899999999999999</v>
      </c>
      <c r="D11" s="3">
        <v>12.4</v>
      </c>
      <c r="E11" s="3">
        <v>0</v>
      </c>
      <c r="F11" s="4">
        <v>187</v>
      </c>
      <c r="G11" s="11">
        <v>200</v>
      </c>
      <c r="H11" s="7">
        <f t="shared" si="0"/>
        <v>37.799999999999997</v>
      </c>
      <c r="I11" s="7">
        <f t="shared" si="1"/>
        <v>24.8</v>
      </c>
      <c r="J11" s="7">
        <f t="shared" si="2"/>
        <v>0</v>
      </c>
      <c r="K11" s="7">
        <f t="shared" si="3"/>
        <v>374</v>
      </c>
    </row>
    <row r="12" spans="1:11" x14ac:dyDescent="0.15">
      <c r="A12" s="1" t="s">
        <v>6</v>
      </c>
      <c r="B12" s="3">
        <v>72.5</v>
      </c>
      <c r="C12" s="3">
        <v>20.2</v>
      </c>
      <c r="D12" s="3">
        <v>7</v>
      </c>
      <c r="E12" s="3">
        <v>0</v>
      </c>
      <c r="F12" s="4">
        <v>143</v>
      </c>
      <c r="G12" s="12"/>
      <c r="H12" s="7" t="str">
        <f t="shared" si="0"/>
        <v/>
      </c>
      <c r="I12" s="7" t="str">
        <f t="shared" si="1"/>
        <v/>
      </c>
      <c r="J12" s="7" t="str">
        <f t="shared" si="2"/>
        <v/>
      </c>
      <c r="K12" s="7" t="str">
        <f t="shared" si="3"/>
        <v/>
      </c>
    </row>
    <row r="13" spans="1:11" x14ac:dyDescent="0.15">
      <c r="A13" s="1" t="s">
        <v>7</v>
      </c>
      <c r="B13" s="3">
        <v>65.3</v>
      </c>
      <c r="C13" s="3">
        <v>20.7</v>
      </c>
      <c r="D13" s="3">
        <v>12.9</v>
      </c>
      <c r="E13" s="3">
        <v>0</v>
      </c>
      <c r="F13" s="4">
        <v>199</v>
      </c>
      <c r="G13" s="12"/>
      <c r="H13" s="7" t="str">
        <f t="shared" si="0"/>
        <v/>
      </c>
      <c r="I13" s="7" t="str">
        <f t="shared" si="1"/>
        <v/>
      </c>
      <c r="J13" s="7" t="str">
        <f t="shared" si="2"/>
        <v/>
      </c>
      <c r="K13" s="7" t="str">
        <f t="shared" si="3"/>
        <v/>
      </c>
    </row>
    <row r="14" spans="1:11" x14ac:dyDescent="0.15">
      <c r="A14" s="1" t="s">
        <v>8</v>
      </c>
      <c r="B14" s="3">
        <v>78</v>
      </c>
      <c r="C14" s="3">
        <v>19.7</v>
      </c>
      <c r="D14" s="3">
        <v>1.2</v>
      </c>
      <c r="E14" s="3">
        <v>0</v>
      </c>
      <c r="F14" s="4">
        <v>90</v>
      </c>
      <c r="G14" s="12"/>
      <c r="H14" s="7" t="str">
        <f t="shared" si="0"/>
        <v/>
      </c>
      <c r="I14" s="7" t="str">
        <f t="shared" si="1"/>
        <v/>
      </c>
      <c r="J14" s="7" t="str">
        <f t="shared" si="2"/>
        <v/>
      </c>
      <c r="K14" s="7" t="str">
        <f t="shared" si="3"/>
        <v/>
      </c>
    </row>
    <row r="15" spans="1:11" x14ac:dyDescent="0.15">
      <c r="A15" s="1" t="s">
        <v>9</v>
      </c>
      <c r="B15" s="3">
        <v>68.900000000000006</v>
      </c>
      <c r="C15" s="3">
        <v>20.8</v>
      </c>
      <c r="D15" s="3">
        <v>8.8000000000000007</v>
      </c>
      <c r="E15" s="3">
        <v>0.6</v>
      </c>
      <c r="F15" s="4">
        <v>165</v>
      </c>
      <c r="G15" s="12"/>
      <c r="H15" s="7" t="str">
        <f t="shared" si="0"/>
        <v/>
      </c>
      <c r="I15" s="7" t="str">
        <f t="shared" si="1"/>
        <v/>
      </c>
      <c r="J15" s="7" t="str">
        <f t="shared" si="2"/>
        <v/>
      </c>
      <c r="K15" s="7" t="str">
        <f t="shared" si="3"/>
        <v/>
      </c>
    </row>
    <row r="16" spans="1:11" x14ac:dyDescent="0.15">
      <c r="A16" s="1" t="s">
        <v>10</v>
      </c>
      <c r="B16" s="3">
        <v>71.3</v>
      </c>
      <c r="C16" s="3">
        <v>18.7</v>
      </c>
      <c r="D16" s="3">
        <v>7.8</v>
      </c>
      <c r="E16" s="3">
        <v>0.4</v>
      </c>
      <c r="F16" s="4">
        <v>156</v>
      </c>
      <c r="G16" s="11">
        <v>250</v>
      </c>
      <c r="H16" s="7">
        <f t="shared" si="0"/>
        <v>46.75</v>
      </c>
      <c r="I16" s="7">
        <f t="shared" si="1"/>
        <v>19.5</v>
      </c>
      <c r="J16" s="7">
        <f t="shared" si="2"/>
        <v>1</v>
      </c>
      <c r="K16" s="7">
        <f t="shared" si="3"/>
        <v>390</v>
      </c>
    </row>
    <row r="17" spans="1:11" x14ac:dyDescent="0.15">
      <c r="A17" s="1" t="s">
        <v>11</v>
      </c>
      <c r="B17" s="3">
        <v>64.5</v>
      </c>
      <c r="C17" s="3">
        <v>21.6</v>
      </c>
      <c r="D17" s="3">
        <v>12</v>
      </c>
      <c r="E17" s="3">
        <v>0.8</v>
      </c>
      <c r="F17" s="4">
        <v>197</v>
      </c>
      <c r="G17" s="12"/>
      <c r="H17" s="7" t="str">
        <f t="shared" si="0"/>
        <v/>
      </c>
      <c r="I17" s="7" t="str">
        <f t="shared" si="1"/>
        <v/>
      </c>
      <c r="J17" s="7" t="str">
        <f t="shared" si="2"/>
        <v/>
      </c>
      <c r="K17" s="7" t="str">
        <f t="shared" si="3"/>
        <v/>
      </c>
    </row>
    <row r="18" spans="1:11" x14ac:dyDescent="0.15">
      <c r="A18" s="1" t="s">
        <v>12</v>
      </c>
      <c r="B18" s="3">
        <v>91</v>
      </c>
      <c r="C18" s="3">
        <v>0.6</v>
      </c>
      <c r="D18" s="3">
        <v>0.1</v>
      </c>
      <c r="E18" s="3">
        <v>5.5</v>
      </c>
      <c r="F18" s="5">
        <v>24</v>
      </c>
      <c r="G18" s="12"/>
      <c r="H18" s="7" t="str">
        <f t="shared" si="0"/>
        <v/>
      </c>
      <c r="I18" s="7" t="str">
        <f t="shared" si="1"/>
        <v/>
      </c>
      <c r="J18" s="7" t="str">
        <f t="shared" si="2"/>
        <v/>
      </c>
      <c r="K18" s="7" t="str">
        <f t="shared" si="3"/>
        <v/>
      </c>
    </row>
    <row r="19" spans="1:11" x14ac:dyDescent="0.15">
      <c r="A19" s="1" t="s">
        <v>20</v>
      </c>
      <c r="B19" s="3">
        <v>74</v>
      </c>
      <c r="C19" s="3">
        <v>1.5</v>
      </c>
      <c r="D19" s="3">
        <v>0</v>
      </c>
      <c r="E19" s="3">
        <v>22.4</v>
      </c>
      <c r="F19" s="5">
        <v>91</v>
      </c>
      <c r="G19" s="12">
        <v>150</v>
      </c>
      <c r="H19" s="7">
        <f t="shared" si="0"/>
        <v>2.25</v>
      </c>
      <c r="I19" s="7">
        <f t="shared" si="1"/>
        <v>0</v>
      </c>
      <c r="J19" s="7">
        <f t="shared" si="2"/>
        <v>33.6</v>
      </c>
      <c r="K19" s="7">
        <f t="shared" si="3"/>
        <v>136.5</v>
      </c>
    </row>
    <row r="20" spans="1:11" x14ac:dyDescent="0.15">
      <c r="A20" s="1" t="s">
        <v>13</v>
      </c>
      <c r="B20" s="3">
        <v>90.9</v>
      </c>
      <c r="C20" s="3">
        <v>2.5</v>
      </c>
      <c r="D20" s="3">
        <v>0</v>
      </c>
      <c r="E20" s="3">
        <v>4.9000000000000004</v>
      </c>
      <c r="F20" s="5">
        <v>29</v>
      </c>
      <c r="G20" s="12"/>
      <c r="H20" s="7" t="str">
        <f t="shared" si="0"/>
        <v/>
      </c>
      <c r="I20" s="7" t="str">
        <f t="shared" si="1"/>
        <v/>
      </c>
      <c r="J20" s="7" t="str">
        <f t="shared" si="2"/>
        <v/>
      </c>
      <c r="K20" s="7" t="str">
        <f t="shared" si="3"/>
        <v/>
      </c>
    </row>
    <row r="21" spans="1:11" x14ac:dyDescent="0.15">
      <c r="A21" s="1" t="s">
        <v>14</v>
      </c>
      <c r="B21" s="3">
        <v>76</v>
      </c>
      <c r="C21" s="3">
        <v>2</v>
      </c>
      <c r="D21" s="3">
        <v>0.1</v>
      </c>
      <c r="E21" s="3">
        <v>19.7</v>
      </c>
      <c r="F21" s="5">
        <v>83</v>
      </c>
      <c r="G21" s="11">
        <v>100</v>
      </c>
      <c r="H21" s="7">
        <f t="shared" si="0"/>
        <v>2</v>
      </c>
      <c r="I21" s="7">
        <f t="shared" si="1"/>
        <v>0.1</v>
      </c>
      <c r="J21" s="7">
        <f t="shared" si="2"/>
        <v>19.7</v>
      </c>
      <c r="K21" s="7">
        <f t="shared" si="3"/>
        <v>83</v>
      </c>
    </row>
    <row r="22" spans="1:11" x14ac:dyDescent="0.15">
      <c r="A22" s="1" t="s">
        <v>15</v>
      </c>
      <c r="B22" s="3">
        <v>88.5</v>
      </c>
      <c r="C22" s="3">
        <v>1.3</v>
      </c>
      <c r="D22" s="3">
        <v>0.1</v>
      </c>
      <c r="E22" s="3">
        <v>7</v>
      </c>
      <c r="F22" s="5">
        <v>33</v>
      </c>
      <c r="G22" s="12"/>
      <c r="H22" s="7" t="str">
        <f t="shared" si="0"/>
        <v/>
      </c>
      <c r="I22" s="7" t="str">
        <f t="shared" si="1"/>
        <v/>
      </c>
      <c r="J22" s="7" t="str">
        <f t="shared" si="2"/>
        <v/>
      </c>
      <c r="K22" s="7" t="str">
        <f t="shared" si="3"/>
        <v/>
      </c>
    </row>
    <row r="23" spans="1:11" x14ac:dyDescent="0.15">
      <c r="A23" s="1" t="s">
        <v>16</v>
      </c>
      <c r="B23" s="3">
        <v>88.6</v>
      </c>
      <c r="C23" s="3">
        <v>1.9</v>
      </c>
      <c r="D23" s="3">
        <v>0</v>
      </c>
      <c r="E23" s="3">
        <v>7</v>
      </c>
      <c r="F23" s="5">
        <v>34</v>
      </c>
      <c r="G23" s="12"/>
      <c r="H23" s="7" t="str">
        <f t="shared" si="0"/>
        <v/>
      </c>
      <c r="I23" s="7" t="str">
        <f t="shared" si="1"/>
        <v/>
      </c>
      <c r="J23" s="7" t="str">
        <f t="shared" si="2"/>
        <v/>
      </c>
      <c r="K23" s="7" t="str">
        <f t="shared" si="3"/>
        <v/>
      </c>
    </row>
    <row r="24" spans="1:11" x14ac:dyDescent="0.15">
      <c r="A24" s="1" t="s">
        <v>24</v>
      </c>
      <c r="B24" s="3">
        <v>90</v>
      </c>
      <c r="C24" s="3">
        <v>4</v>
      </c>
      <c r="D24" s="3">
        <v>0</v>
      </c>
      <c r="E24" s="3">
        <v>4.3</v>
      </c>
      <c r="F24" s="5">
        <v>32</v>
      </c>
      <c r="G24" s="12"/>
      <c r="H24" s="7" t="str">
        <f t="shared" si="0"/>
        <v/>
      </c>
      <c r="I24" s="7" t="str">
        <f t="shared" si="1"/>
        <v/>
      </c>
      <c r="J24" s="7" t="str">
        <f t="shared" si="2"/>
        <v/>
      </c>
      <c r="K24" s="7" t="str">
        <f t="shared" si="3"/>
        <v/>
      </c>
    </row>
    <row r="25" spans="1:11" x14ac:dyDescent="0.15">
      <c r="A25" s="1" t="s">
        <v>17</v>
      </c>
      <c r="B25" s="3">
        <v>70.5</v>
      </c>
      <c r="C25" s="3">
        <v>21</v>
      </c>
      <c r="D25" s="3">
        <v>7</v>
      </c>
      <c r="E25" s="3">
        <v>0</v>
      </c>
      <c r="F25" s="5">
        <v>147</v>
      </c>
      <c r="G25" s="12"/>
      <c r="H25" s="7" t="str">
        <f t="shared" si="0"/>
        <v/>
      </c>
      <c r="I25" s="7" t="str">
        <f t="shared" si="1"/>
        <v/>
      </c>
      <c r="J25" s="7" t="str">
        <f t="shared" si="2"/>
        <v/>
      </c>
      <c r="K25" s="7" t="str">
        <f t="shared" si="3"/>
        <v/>
      </c>
    </row>
    <row r="26" spans="1:11" x14ac:dyDescent="0.15">
      <c r="A26" s="1" t="s">
        <v>19</v>
      </c>
      <c r="B26" s="3">
        <v>78.900000000000006</v>
      </c>
      <c r="C26" s="3">
        <v>19</v>
      </c>
      <c r="D26" s="3">
        <v>0.8</v>
      </c>
      <c r="E26" s="3">
        <v>0</v>
      </c>
      <c r="F26" s="5">
        <v>83</v>
      </c>
      <c r="G26" s="12"/>
      <c r="H26" s="7" t="str">
        <f t="shared" si="0"/>
        <v/>
      </c>
      <c r="I26" s="7" t="str">
        <f t="shared" si="1"/>
        <v/>
      </c>
      <c r="J26" s="7" t="str">
        <f t="shared" si="2"/>
        <v/>
      </c>
      <c r="K26" s="7" t="str">
        <f t="shared" si="3"/>
        <v/>
      </c>
    </row>
    <row r="27" spans="1:11" x14ac:dyDescent="0.15">
      <c r="A27" s="1" t="s">
        <v>18</v>
      </c>
      <c r="B27" s="3">
        <v>70.400000000000006</v>
      </c>
      <c r="C27" s="3">
        <v>18.8</v>
      </c>
      <c r="D27" s="3">
        <v>0.7</v>
      </c>
      <c r="E27" s="3">
        <v>0</v>
      </c>
      <c r="F27" s="5">
        <v>82</v>
      </c>
      <c r="G27" s="13"/>
      <c r="H27" s="7" t="str">
        <f t="shared" si="0"/>
        <v/>
      </c>
      <c r="I27" s="7" t="str">
        <f t="shared" si="1"/>
        <v/>
      </c>
      <c r="J27" s="7" t="str">
        <f t="shared" si="2"/>
        <v/>
      </c>
      <c r="K27" s="7" t="str">
        <f t="shared" si="3"/>
        <v/>
      </c>
    </row>
    <row r="28" spans="1:11" x14ac:dyDescent="0.15">
      <c r="G28" s="8">
        <f>SUM(G3:G27)</f>
        <v>1600</v>
      </c>
      <c r="H28" s="8">
        <f>SUM(H3:H27)</f>
        <v>191.35</v>
      </c>
      <c r="I28" s="8">
        <f>SUM(I3:I27)</f>
        <v>76.3</v>
      </c>
      <c r="J28" s="8">
        <f>SUM(J3:J27)</f>
        <v>308.39999999999998</v>
      </c>
      <c r="K28" s="8">
        <f>SUM(K3:K27)</f>
        <v>2656</v>
      </c>
    </row>
  </sheetData>
  <mergeCells count="3">
    <mergeCell ref="B1:F1"/>
    <mergeCell ref="A1:A2"/>
    <mergeCell ref="G1:K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Schneider Electric Buildings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Nail Muratov</cp:lastModifiedBy>
  <cp:lastPrinted>2016-08-23T16:04:04Z</cp:lastPrinted>
  <dcterms:created xsi:type="dcterms:W3CDTF">2010-11-01T05:29:35Z</dcterms:created>
  <dcterms:modified xsi:type="dcterms:W3CDTF">2016-08-24T15:09:18Z</dcterms:modified>
</cp:coreProperties>
</file>